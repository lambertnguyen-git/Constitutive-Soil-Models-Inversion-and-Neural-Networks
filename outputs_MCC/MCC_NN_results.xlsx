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lambert/Documents/UBC/Final Paper/UBC EOSC Capstone Project/outputs_MCC/"/>
    </mc:Choice>
  </mc:AlternateContent>
  <xr:revisionPtr revIDLastSave="0" documentId="13_ncr:1_{460AF490-BFE1-9C42-A549-D2637BFADDA9}" xr6:coauthVersionLast="47" xr6:coauthVersionMax="47" xr10:uidLastSave="{00000000-0000-0000-0000-000000000000}"/>
  <bookViews>
    <workbookView xWindow="0" yWindow="660" windowWidth="34560" windowHeight="19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6" i="1" l="1"/>
  <c r="AA31" i="1"/>
  <c r="AA26" i="1"/>
  <c r="AA21" i="1"/>
  <c r="AA16" i="1"/>
  <c r="Y36" i="1"/>
  <c r="Y31" i="1"/>
  <c r="Y26" i="1"/>
  <c r="Y21" i="1"/>
  <c r="Y16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<sst xmlns="http://schemas.openxmlformats.org/spreadsheetml/2006/main" count="40" uniqueCount="40">
  <si>
    <t>Test</t>
  </si>
  <si>
    <t>sigma3</t>
  </si>
  <si>
    <t>M_NN</t>
  </si>
  <si>
    <t>M_std</t>
  </si>
  <si>
    <t>lam_NN</t>
  </si>
  <si>
    <t>lam_std</t>
  </si>
  <si>
    <t>kap_NN</t>
  </si>
  <si>
    <t>kap_std</t>
  </si>
  <si>
    <t>e0_NN</t>
  </si>
  <si>
    <t>e0_std</t>
  </si>
  <si>
    <t>TMD1</t>
  </si>
  <si>
    <t>TMD2</t>
  </si>
  <si>
    <t>TMD3</t>
  </si>
  <si>
    <t>TMD4</t>
  </si>
  <si>
    <t>TMD5</t>
  </si>
  <si>
    <t>TMD6</t>
  </si>
  <si>
    <t>TMD7</t>
  </si>
  <si>
    <t>TMD8</t>
  </si>
  <si>
    <t>TMD9</t>
  </si>
  <si>
    <t>TMD10</t>
  </si>
  <si>
    <t>TMD11</t>
  </si>
  <si>
    <t>TMD12</t>
  </si>
  <si>
    <t>TMD13</t>
  </si>
  <si>
    <t>TMD14</t>
  </si>
  <si>
    <t>TMD15</t>
  </si>
  <si>
    <t>TMD16</t>
  </si>
  <si>
    <t>TMD17</t>
  </si>
  <si>
    <t>TMD18</t>
  </si>
  <si>
    <t>TMD19</t>
  </si>
  <si>
    <t>TMD20</t>
  </si>
  <si>
    <t>TMD21</t>
  </si>
  <si>
    <t>TMD22</t>
  </si>
  <si>
    <t>TMD23</t>
  </si>
  <si>
    <t>TMD24</t>
  </si>
  <si>
    <t>TMD25</t>
  </si>
  <si>
    <t>M</t>
  </si>
  <si>
    <t>lam</t>
  </si>
  <si>
    <t>kap</t>
  </si>
  <si>
    <t>e0</t>
  </si>
  <si>
    <t>friction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</si>
</sst>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5">
    <border>
      <left/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medium">
        <color rgb="FF7F7F7F"/>
      </left>
      <right style="medium">
        <color rgb="FF7F7F7F"/>
      </right>
      <top/>
      <bottom style="medium">
        <color rgb="FF7F7F7F"/>
      </bottom>
      <diagonal/>
    </border>
    <border>
      <left style="medium">
        <color rgb="FF7F7F7F"/>
      </left>
      <right style="medium">
        <color rgb="FF7F7F7F"/>
      </right>
      <top/>
      <bottom style="double">
        <color indexed="64"/>
      </bottom>
      <diagonal/>
    </border>
    <border>
      <left/>
      <right style="medium">
        <color rgb="FF7F7F7F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6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166" fontId="0" fillId="0" borderId="4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</xdr:row>
      <xdr:rowOff>0</xdr:rowOff>
    </xdr:from>
    <xdr:to>
      <xdr:col>25</xdr:col>
      <xdr:colOff>88900</xdr:colOff>
      <xdr:row>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5E09BF-57B9-AC86-D53A-4F0955FD65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35100" y="190500"/>
          <a:ext cx="2781300" cy="76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0"/>
  <sheetViews>
    <sheetView tabSelected="1" workbookViewId="0">
      <selection activeCell="S29" sqref="S29"/>
    </sheetView>
  </sheetViews>
  <sheetFormatPr baseColWidth="10" defaultColWidth="8.83203125" defaultRowHeight="15" x14ac:dyDescent="0.2"/>
  <sheetData>
    <row r="1" spans="1:2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t="s">
        <v>35</v>
      </c>
      <c r="N1" t="s">
        <v>36</v>
      </c>
      <c r="O1" t="s">
        <v>37</v>
      </c>
      <c r="P1" t="s">
        <v>38</v>
      </c>
      <c r="R1" t="s">
        <v>39</v>
      </c>
    </row>
    <row r="2" spans="1:27" x14ac:dyDescent="0.2">
      <c r="A2" t="s">
        <v>10</v>
      </c>
      <c r="B2">
        <v>50.579594001333327</v>
      </c>
      <c r="C2">
        <v>1.372864074267911</v>
      </c>
      <c r="D2">
        <v>1.1809894954007151E-2</v>
      </c>
      <c r="E2">
        <v>1.5885853990989969E-2</v>
      </c>
      <c r="F2">
        <v>1.418547590986979E-3</v>
      </c>
      <c r="G2">
        <v>1.433144185355276E-2</v>
      </c>
      <c r="H2">
        <v>7.0119517986669201E-4</v>
      </c>
      <c r="I2">
        <v>0.35615494432559758</v>
      </c>
      <c r="J2">
        <v>5.4096506784477742E-2</v>
      </c>
      <c r="M2" t="str">
        <f>ROUND(C2,3)&amp;" ± "&amp;ROUND(D2,3)</f>
        <v>1.373 ± 0.012</v>
      </c>
      <c r="N2" t="str">
        <f>ROUND(E2,3)&amp;" ± "&amp;ROUND(F2,3)</f>
        <v>0.016 ± 0.001</v>
      </c>
      <c r="O2" t="str">
        <f>ROUND(G2,3)&amp;" ± "&amp;ROUND(H2,3)</f>
        <v>0.014 ± 0.001</v>
      </c>
      <c r="P2" t="str">
        <f>ROUND(I2,2)&amp;" ± "&amp;ROUND(J2,2)</f>
        <v>0.36 ± 0.05</v>
      </c>
      <c r="R2" s="1">
        <f>DEGREES(ASIN(3*C2/(6+C2)))</f>
        <v>33.960067513095694</v>
      </c>
    </row>
    <row r="3" spans="1:27" x14ac:dyDescent="0.2">
      <c r="A3" t="s">
        <v>11</v>
      </c>
      <c r="B3">
        <v>100.17515666666669</v>
      </c>
      <c r="C3">
        <v>1.364639558137553</v>
      </c>
      <c r="D3">
        <v>1.291694002803551E-2</v>
      </c>
      <c r="E3">
        <v>1.1644337231332879E-2</v>
      </c>
      <c r="F3">
        <v>1.221710331500353E-3</v>
      </c>
      <c r="G3">
        <v>1.083889440103511E-2</v>
      </c>
      <c r="H3">
        <v>7.8280200643293186E-4</v>
      </c>
      <c r="I3">
        <v>2.4078117779309231E-2</v>
      </c>
      <c r="J3">
        <v>7.3315970263827579E-2</v>
      </c>
      <c r="M3" t="str">
        <f t="shared" ref="M3:M26" si="0">ROUND(C3,3)&amp;" ± "&amp;ROUND(D3,3)</f>
        <v>1.365 ± 0.013</v>
      </c>
      <c r="N3" t="str">
        <f t="shared" ref="N3:N26" si="1">ROUND(E3,3)&amp;" ± "&amp;ROUND(F3,3)</f>
        <v>0.012 ± 0.001</v>
      </c>
      <c r="O3" t="str">
        <f t="shared" ref="O3:O26" si="2">ROUND(G3,3)&amp;" ± "&amp;ROUND(H3,3)</f>
        <v>0.011 ± 0.001</v>
      </c>
      <c r="P3" t="str">
        <f t="shared" ref="P3:P26" si="3">ROUND(I3,2)&amp;" ± "&amp;ROUND(J3,2)</f>
        <v>0.02 ± 0.07</v>
      </c>
      <c r="R3" s="1">
        <f t="shared" ref="R3:R26" si="4">DEGREES(ASIN(3*C3/(6+C3)))</f>
        <v>33.771936502396052</v>
      </c>
    </row>
    <row r="4" spans="1:27" x14ac:dyDescent="0.2">
      <c r="A4" t="s">
        <v>12</v>
      </c>
      <c r="B4">
        <v>200.97666666666669</v>
      </c>
      <c r="C4">
        <v>1.3828621323345169</v>
      </c>
      <c r="D4">
        <v>8.1957697633080508E-3</v>
      </c>
      <c r="E4">
        <v>2.5697468225062851E-2</v>
      </c>
      <c r="F4">
        <v>1.018245625521751E-3</v>
      </c>
      <c r="G4">
        <v>1.3185659596637299E-2</v>
      </c>
      <c r="H4">
        <v>4.1169667509204528E-4</v>
      </c>
      <c r="I4">
        <v>0.53522011432619532</v>
      </c>
      <c r="J4">
        <v>1.218061158064038E-2</v>
      </c>
      <c r="M4" t="str">
        <f t="shared" si="0"/>
        <v>1.383 ± 0.008</v>
      </c>
      <c r="N4" t="str">
        <f t="shared" si="1"/>
        <v>0.026 ± 0.001</v>
      </c>
      <c r="O4" t="str">
        <f t="shared" si="2"/>
        <v>0.013 ± 0</v>
      </c>
      <c r="P4" t="str">
        <f t="shared" si="3"/>
        <v>0.54 ± 0.01</v>
      </c>
      <c r="R4" s="1">
        <f t="shared" si="4"/>
        <v>34.188762621389962</v>
      </c>
    </row>
    <row r="5" spans="1:27" x14ac:dyDescent="0.2">
      <c r="A5" t="s">
        <v>13</v>
      </c>
      <c r="B5">
        <v>300.01333333333332</v>
      </c>
      <c r="C5">
        <v>1.3385867107080189</v>
      </c>
      <c r="D5">
        <v>7.2248198990199587E-3</v>
      </c>
      <c r="E5">
        <v>2.209477185045514E-2</v>
      </c>
      <c r="F5">
        <v>6.4724840788735996E-4</v>
      </c>
      <c r="G5">
        <v>4.1128674319079366E-3</v>
      </c>
      <c r="H5">
        <v>3.12364223514841E-4</v>
      </c>
      <c r="I5">
        <v>0.50686507674607062</v>
      </c>
      <c r="J5">
        <v>1.1344409375643631E-2</v>
      </c>
      <c r="M5" t="str">
        <f t="shared" si="0"/>
        <v>1.339 ± 0.007</v>
      </c>
      <c r="N5" t="str">
        <f t="shared" si="1"/>
        <v>0.022 ± 0.001</v>
      </c>
      <c r="O5" t="str">
        <f t="shared" si="2"/>
        <v>0.004 ± 0</v>
      </c>
      <c r="P5" t="str">
        <f t="shared" si="3"/>
        <v>0.51 ± 0.01</v>
      </c>
      <c r="R5" s="1">
        <f t="shared" si="4"/>
        <v>33.175929910981068</v>
      </c>
    </row>
    <row r="6" spans="1:27" x14ac:dyDescent="0.2">
      <c r="A6" t="s">
        <v>14</v>
      </c>
      <c r="B6">
        <v>398.30333333333328</v>
      </c>
      <c r="C6">
        <v>1.347199223782477</v>
      </c>
      <c r="D6">
        <v>4.6397678573932523E-3</v>
      </c>
      <c r="E6">
        <v>3.3771825810370117E-2</v>
      </c>
      <c r="F6">
        <v>5.7108526079600321E-4</v>
      </c>
      <c r="G6">
        <v>1.278757814265416E-2</v>
      </c>
      <c r="H6">
        <v>2.663140742357737E-4</v>
      </c>
      <c r="I6">
        <v>0.75248761446797319</v>
      </c>
      <c r="J6">
        <v>6.2051324014637732E-3</v>
      </c>
      <c r="M6" t="str">
        <f t="shared" si="0"/>
        <v>1.347 ± 0.005</v>
      </c>
      <c r="N6" t="str">
        <f t="shared" si="1"/>
        <v>0.034 ± 0.001</v>
      </c>
      <c r="O6" t="str">
        <f t="shared" si="2"/>
        <v>0.013 ± 0</v>
      </c>
      <c r="P6" t="str">
        <f t="shared" si="3"/>
        <v>0.75 ± 0.01</v>
      </c>
      <c r="R6" s="1">
        <f t="shared" si="4"/>
        <v>33.372971389715012</v>
      </c>
    </row>
    <row r="7" spans="1:27" x14ac:dyDescent="0.2">
      <c r="A7" t="s">
        <v>15</v>
      </c>
      <c r="B7">
        <v>49.936347995666672</v>
      </c>
      <c r="C7">
        <v>1.486606844259424</v>
      </c>
      <c r="D7">
        <v>4.0625445385503021E-2</v>
      </c>
      <c r="E7">
        <v>-3.2296778112348358E-2</v>
      </c>
      <c r="F7">
        <v>7.2213638675399216E-3</v>
      </c>
      <c r="G7">
        <v>-7.1158548728264626E-3</v>
      </c>
      <c r="H7">
        <v>2.9431328544330718E-3</v>
      </c>
      <c r="I7">
        <v>-2.3517706045523861</v>
      </c>
      <c r="J7">
        <v>0.2618732033880995</v>
      </c>
      <c r="M7" t="str">
        <f t="shared" si="0"/>
        <v>1.487 ± 0.041</v>
      </c>
      <c r="N7" t="str">
        <f t="shared" si="1"/>
        <v>-0.032 ± 0.007</v>
      </c>
      <c r="O7" t="str">
        <f t="shared" si="2"/>
        <v>-0.007 ± 0.003</v>
      </c>
      <c r="P7" t="str">
        <f t="shared" si="3"/>
        <v>-2.35 ± 0.26</v>
      </c>
      <c r="R7" s="1">
        <f t="shared" si="4"/>
        <v>36.563014929620138</v>
      </c>
    </row>
    <row r="8" spans="1:27" x14ac:dyDescent="0.2">
      <c r="A8" t="s">
        <v>16</v>
      </c>
      <c r="B8">
        <v>100.6014666666667</v>
      </c>
      <c r="C8">
        <v>1.4730930879452619</v>
      </c>
      <c r="D8">
        <v>4.7223770894124648E-2</v>
      </c>
      <c r="E8">
        <v>-3.744919263032262E-2</v>
      </c>
      <c r="F8">
        <v>9.4396964393732609E-3</v>
      </c>
      <c r="G8">
        <v>-1.038612435688532E-2</v>
      </c>
      <c r="H8">
        <v>3.2868336508417701E-3</v>
      </c>
      <c r="I8">
        <v>-2.7281731895466099</v>
      </c>
      <c r="J8">
        <v>0.35404118356757819</v>
      </c>
      <c r="M8" t="str">
        <f t="shared" si="0"/>
        <v>1.473 ± 0.047</v>
      </c>
      <c r="N8" t="str">
        <f t="shared" si="1"/>
        <v>-0.037 ± 0.009</v>
      </c>
      <c r="O8" t="str">
        <f t="shared" si="2"/>
        <v>-0.01 ± 0.003</v>
      </c>
      <c r="P8" t="str">
        <f t="shared" si="3"/>
        <v>-2.73 ± 0.35</v>
      </c>
      <c r="R8" s="1">
        <f t="shared" si="4"/>
        <v>36.253491251567546</v>
      </c>
    </row>
    <row r="9" spans="1:27" x14ac:dyDescent="0.2">
      <c r="A9" t="s">
        <v>17</v>
      </c>
      <c r="B9">
        <v>199.16666666666671</v>
      </c>
      <c r="C9">
        <v>1.4388485259612931</v>
      </c>
      <c r="D9">
        <v>4.2769278388733921E-2</v>
      </c>
      <c r="E9">
        <v>-3.3065626315483453E-2</v>
      </c>
      <c r="F9">
        <v>7.7444796582322936E-3</v>
      </c>
      <c r="G9">
        <v>-7.8297645588404855E-3</v>
      </c>
      <c r="H9">
        <v>2.9035990849227691E-3</v>
      </c>
      <c r="I9">
        <v>-2.5722600782574991</v>
      </c>
      <c r="J9">
        <v>0.31341197896913092</v>
      </c>
      <c r="M9" t="str">
        <f t="shared" si="0"/>
        <v>1.439 ± 0.043</v>
      </c>
      <c r="N9" t="str">
        <f t="shared" si="1"/>
        <v>-0.033 ± 0.008</v>
      </c>
      <c r="O9" t="str">
        <f t="shared" si="2"/>
        <v>-0.008 ± 0.003</v>
      </c>
      <c r="P9" t="str">
        <f t="shared" si="3"/>
        <v>-2.57 ± 0.31</v>
      </c>
      <c r="R9" s="1">
        <f t="shared" si="4"/>
        <v>35.469581995422239</v>
      </c>
    </row>
    <row r="10" spans="1:27" x14ac:dyDescent="0.2">
      <c r="A10" t="s">
        <v>18</v>
      </c>
      <c r="B10">
        <v>298.45</v>
      </c>
      <c r="C10">
        <v>1.4315878075183499</v>
      </c>
      <c r="D10">
        <v>4.1630555378827282E-2</v>
      </c>
      <c r="E10">
        <v>-3.3843651586350693E-2</v>
      </c>
      <c r="F10">
        <v>8.3860935271868244E-3</v>
      </c>
      <c r="G10">
        <v>-9.4794971679538122E-3</v>
      </c>
      <c r="H10">
        <v>3.0625097332835352E-3</v>
      </c>
      <c r="I10">
        <v>-2.661186265709099</v>
      </c>
      <c r="J10">
        <v>0.33592455374742147</v>
      </c>
      <c r="M10" t="str">
        <f t="shared" si="0"/>
        <v>1.432 ± 0.042</v>
      </c>
      <c r="N10" t="str">
        <f t="shared" si="1"/>
        <v>-0.034 ± 0.008</v>
      </c>
      <c r="O10" t="str">
        <f t="shared" si="2"/>
        <v>-0.009 ± 0.003</v>
      </c>
      <c r="P10" t="str">
        <f t="shared" si="3"/>
        <v>-2.66 ± 0.34</v>
      </c>
      <c r="R10" s="1">
        <f t="shared" si="4"/>
        <v>35.303436259289661</v>
      </c>
    </row>
    <row r="11" spans="1:27" x14ac:dyDescent="0.2">
      <c r="A11" t="s">
        <v>19</v>
      </c>
      <c r="B11">
        <v>400.54170402</v>
      </c>
      <c r="C11">
        <v>1.4440168022343589</v>
      </c>
      <c r="D11">
        <v>3.2357717972106792E-2</v>
      </c>
      <c r="E11">
        <v>-2.5280011016101021E-2</v>
      </c>
      <c r="F11">
        <v>5.5480896290985961E-3</v>
      </c>
      <c r="G11">
        <v>-4.6330629788483473E-3</v>
      </c>
      <c r="H11">
        <v>2.4743383035315042E-3</v>
      </c>
      <c r="I11">
        <v>-2.2395333919942462</v>
      </c>
      <c r="J11">
        <v>0.23575058058645459</v>
      </c>
      <c r="M11" t="str">
        <f t="shared" si="0"/>
        <v>1.444 ± 0.032</v>
      </c>
      <c r="N11" t="str">
        <f t="shared" si="1"/>
        <v>-0.025 ± 0.006</v>
      </c>
      <c r="O11" t="str">
        <f t="shared" si="2"/>
        <v>-0.005 ± 0.002</v>
      </c>
      <c r="P11" t="str">
        <f t="shared" si="3"/>
        <v>-2.24 ± 0.24</v>
      </c>
      <c r="R11" s="1">
        <f t="shared" si="4"/>
        <v>35.587858152279964</v>
      </c>
    </row>
    <row r="12" spans="1:27" x14ac:dyDescent="0.2">
      <c r="A12" t="s">
        <v>20</v>
      </c>
      <c r="B12">
        <v>50.915429502666669</v>
      </c>
      <c r="C12">
        <v>1.5363319024137541</v>
      </c>
      <c r="D12">
        <v>4.8625776789658688E-2</v>
      </c>
      <c r="E12">
        <v>-4.1263823232718842E-2</v>
      </c>
      <c r="F12">
        <v>1.1531725176736811E-2</v>
      </c>
      <c r="G12">
        <v>-1.2759030860111551E-2</v>
      </c>
      <c r="H12">
        <v>3.9087422330344179E-3</v>
      </c>
      <c r="I12">
        <v>-2.91594144426869</v>
      </c>
      <c r="J12">
        <v>0.4084462496071416</v>
      </c>
      <c r="M12" t="str">
        <f t="shared" si="0"/>
        <v>1.536 ± 0.049</v>
      </c>
      <c r="N12" t="str">
        <f t="shared" si="1"/>
        <v>-0.041 ± 0.012</v>
      </c>
      <c r="O12" t="str">
        <f t="shared" si="2"/>
        <v>-0.013 ± 0.004</v>
      </c>
      <c r="P12" t="str">
        <f t="shared" si="3"/>
        <v>-2.92 ± 0.41</v>
      </c>
      <c r="R12" s="1">
        <f t="shared" si="4"/>
        <v>37.703122549192187</v>
      </c>
    </row>
    <row r="13" spans="1:27" x14ac:dyDescent="0.2">
      <c r="A13" t="s">
        <v>21</v>
      </c>
      <c r="B13">
        <v>100.56434</v>
      </c>
      <c r="C13">
        <v>1.475768267824509</v>
      </c>
      <c r="D13">
        <v>5.1200726378305653E-2</v>
      </c>
      <c r="E13">
        <v>-4.0984989899023737E-2</v>
      </c>
      <c r="F13">
        <v>1.170483064816851E-2</v>
      </c>
      <c r="G13">
        <v>-1.344714016573271E-2</v>
      </c>
      <c r="H13">
        <v>3.7678350199134071E-3</v>
      </c>
      <c r="I13">
        <v>-2.938363422462726</v>
      </c>
      <c r="J13">
        <v>0.41637849454204839</v>
      </c>
      <c r="M13" t="str">
        <f t="shared" si="0"/>
        <v>1.476 ± 0.051</v>
      </c>
      <c r="N13" t="str">
        <f t="shared" si="1"/>
        <v>-0.041 ± 0.012</v>
      </c>
      <c r="O13" t="str">
        <f t="shared" si="2"/>
        <v>-0.013 ± 0.004</v>
      </c>
      <c r="P13" t="str">
        <f t="shared" si="3"/>
        <v>-2.94 ± 0.42</v>
      </c>
      <c r="R13" s="1">
        <f t="shared" si="4"/>
        <v>36.31475550608689</v>
      </c>
    </row>
    <row r="14" spans="1:27" x14ac:dyDescent="0.2">
      <c r="A14" t="s">
        <v>22</v>
      </c>
      <c r="B14">
        <v>199.81666666666669</v>
      </c>
      <c r="C14">
        <v>1.4489714574271371</v>
      </c>
      <c r="D14">
        <v>4.6458178380483932E-2</v>
      </c>
      <c r="E14">
        <v>-3.7900384790760647E-2</v>
      </c>
      <c r="F14">
        <v>1.0143016199150661E-2</v>
      </c>
      <c r="G14">
        <v>-1.1707357125721509E-2</v>
      </c>
      <c r="H14">
        <v>3.5166072530254588E-3</v>
      </c>
      <c r="I14">
        <v>-2.8290688388879981</v>
      </c>
      <c r="J14">
        <v>0.38276183556873589</v>
      </c>
      <c r="M14" t="str">
        <f t="shared" si="0"/>
        <v>1.449 ± 0.046</v>
      </c>
      <c r="N14" t="str">
        <f t="shared" si="1"/>
        <v>-0.038 ± 0.01</v>
      </c>
      <c r="O14" t="str">
        <f t="shared" si="2"/>
        <v>-0.012 ± 0.004</v>
      </c>
      <c r="P14" t="str">
        <f t="shared" si="3"/>
        <v>-2.83 ± 0.38</v>
      </c>
      <c r="R14" s="1">
        <f t="shared" si="4"/>
        <v>35.701255426427849</v>
      </c>
    </row>
    <row r="15" spans="1:27" ht="16" thickBot="1" x14ac:dyDescent="0.25">
      <c r="A15" t="s">
        <v>23</v>
      </c>
      <c r="B15">
        <v>298.43666666666672</v>
      </c>
      <c r="C15">
        <v>1.453677407280249</v>
      </c>
      <c r="D15">
        <v>4.8873726670518071E-2</v>
      </c>
      <c r="E15">
        <v>-3.8335689186838981E-2</v>
      </c>
      <c r="F15">
        <v>1.1004937330172481E-2</v>
      </c>
      <c r="G15">
        <v>-1.224733447684067E-2</v>
      </c>
      <c r="H15">
        <v>3.8018798217182531E-3</v>
      </c>
      <c r="I15">
        <v>-2.913006648497158</v>
      </c>
      <c r="J15">
        <v>0.40489859049995103</v>
      </c>
      <c r="M15" t="str">
        <f t="shared" si="0"/>
        <v>1.454 ± 0.049</v>
      </c>
      <c r="N15" t="str">
        <f t="shared" si="1"/>
        <v>-0.038 ± 0.011</v>
      </c>
      <c r="O15" t="str">
        <f t="shared" si="2"/>
        <v>-0.012 ± 0.004</v>
      </c>
      <c r="P15" t="str">
        <f t="shared" si="3"/>
        <v>-2.91 ± 0.4</v>
      </c>
      <c r="R15" s="1">
        <f t="shared" si="4"/>
        <v>35.808970226538307</v>
      </c>
    </row>
    <row r="16" spans="1:27" ht="16" thickBot="1" x14ac:dyDescent="0.25">
      <c r="A16" t="s">
        <v>24</v>
      </c>
      <c r="B16">
        <v>392.09666666666669</v>
      </c>
      <c r="C16">
        <v>1.467137125716407</v>
      </c>
      <c r="D16">
        <v>4.6716682577726598E-2</v>
      </c>
      <c r="E16">
        <v>-3.7491338150709812E-2</v>
      </c>
      <c r="F16">
        <v>1.0278261198732199E-2</v>
      </c>
      <c r="G16">
        <v>-1.1834293853228581E-2</v>
      </c>
      <c r="H16">
        <v>3.5984962959511499E-3</v>
      </c>
      <c r="I16">
        <v>-2.8298499230782821</v>
      </c>
      <c r="J16">
        <v>0.38602142560411351</v>
      </c>
      <c r="M16" t="str">
        <f t="shared" si="0"/>
        <v>1.467 ± 0.047</v>
      </c>
      <c r="N16" t="str">
        <f t="shared" si="1"/>
        <v>-0.037 ± 0.01</v>
      </c>
      <c r="O16" t="str">
        <f t="shared" si="2"/>
        <v>-0.012 ± 0.004</v>
      </c>
      <c r="P16" t="str">
        <f t="shared" si="3"/>
        <v>-2.83 ± 0.39</v>
      </c>
      <c r="R16" s="1">
        <f t="shared" si="4"/>
        <v>36.117108655847247</v>
      </c>
      <c r="W16" s="2">
        <v>1.3169999999999999</v>
      </c>
      <c r="X16" s="1">
        <f>DEGREES(ASIN(3*W16/(6+W16)))</f>
        <v>32.681964216769785</v>
      </c>
      <c r="Y16" s="6">
        <f>AVERAGE(X16:X20)</f>
        <v>32.778066755035056</v>
      </c>
      <c r="Z16" s="2">
        <v>34.5</v>
      </c>
      <c r="AA16" s="6">
        <f>AVERAGE(Z16:Z20)</f>
        <v>34.299999999999997</v>
      </c>
    </row>
    <row r="17" spans="1:27" ht="16" thickBot="1" x14ac:dyDescent="0.25">
      <c r="A17" t="s">
        <v>25</v>
      </c>
      <c r="B17">
        <v>50.860685996333338</v>
      </c>
      <c r="C17">
        <v>1.5414395329049879</v>
      </c>
      <c r="D17">
        <v>5.2358601308595647E-2</v>
      </c>
      <c r="E17">
        <v>-3.9564184049062152E-2</v>
      </c>
      <c r="F17">
        <v>1.336902586464192E-2</v>
      </c>
      <c r="G17">
        <v>-1.274969293638945E-2</v>
      </c>
      <c r="H17">
        <v>4.3157636976915584E-3</v>
      </c>
      <c r="I17">
        <v>-3.0703297847484619</v>
      </c>
      <c r="J17">
        <v>0.45349163373681989</v>
      </c>
      <c r="M17" t="str">
        <f t="shared" si="0"/>
        <v>1.541 ± 0.052</v>
      </c>
      <c r="N17" t="str">
        <f t="shared" si="1"/>
        <v>-0.04 ± 0.013</v>
      </c>
      <c r="O17" t="str">
        <f t="shared" si="2"/>
        <v>-0.013 ± 0.004</v>
      </c>
      <c r="P17" t="str">
        <f t="shared" si="3"/>
        <v>-3.07 ± 0.45</v>
      </c>
      <c r="R17" s="1">
        <f t="shared" si="4"/>
        <v>37.820359178497682</v>
      </c>
      <c r="W17" s="3">
        <v>1.3169999999999999</v>
      </c>
      <c r="X17" s="1">
        <f t="shared" ref="X17:X40" si="5">DEGREES(ASIN(3*W17/(6+W17)))</f>
        <v>32.681964216769785</v>
      </c>
      <c r="Y17" s="6"/>
      <c r="Z17" s="3">
        <v>34</v>
      </c>
      <c r="AA17" s="6"/>
    </row>
    <row r="18" spans="1:27" ht="16" thickBot="1" x14ac:dyDescent="0.25">
      <c r="A18" t="s">
        <v>26</v>
      </c>
      <c r="B18">
        <v>99.628253333333333</v>
      </c>
      <c r="C18">
        <v>1.5098493191053961</v>
      </c>
      <c r="D18">
        <v>5.3622858068879342E-2</v>
      </c>
      <c r="E18">
        <v>-4.1585846349291182E-2</v>
      </c>
      <c r="F18">
        <v>1.275831722433448E-2</v>
      </c>
      <c r="G18">
        <v>-1.4207357107178379E-2</v>
      </c>
      <c r="H18">
        <v>4.5026102508159546E-3</v>
      </c>
      <c r="I18">
        <v>-3.0228576657074409</v>
      </c>
      <c r="J18">
        <v>0.44188717034715541</v>
      </c>
      <c r="M18" t="str">
        <f t="shared" si="0"/>
        <v>1.51 ± 0.054</v>
      </c>
      <c r="N18" t="str">
        <f t="shared" si="1"/>
        <v>-0.042 ± 0.013</v>
      </c>
      <c r="O18" t="str">
        <f t="shared" si="2"/>
        <v>-0.014 ± 0.005</v>
      </c>
      <c r="P18" t="str">
        <f t="shared" si="3"/>
        <v>-3.02 ± 0.44</v>
      </c>
      <c r="R18" s="1">
        <f t="shared" si="4"/>
        <v>37.09566555220858</v>
      </c>
      <c r="W18" s="3">
        <v>1.339</v>
      </c>
      <c r="X18" s="1">
        <f t="shared" si="5"/>
        <v>33.185385768489276</v>
      </c>
      <c r="Y18" s="6"/>
      <c r="Z18" s="3">
        <v>35.1</v>
      </c>
      <c r="AA18" s="6"/>
    </row>
    <row r="19" spans="1:27" ht="16" thickBot="1" x14ac:dyDescent="0.25">
      <c r="A19" t="s">
        <v>27</v>
      </c>
      <c r="B19">
        <v>200.2766666666667</v>
      </c>
      <c r="C19">
        <v>1.521177983099085</v>
      </c>
      <c r="D19">
        <v>4.9784614247323937E-2</v>
      </c>
      <c r="E19">
        <v>-4.1599123158941979E-2</v>
      </c>
      <c r="F19">
        <v>1.2243513100070659E-2</v>
      </c>
      <c r="G19">
        <v>-1.379813452020073E-2</v>
      </c>
      <c r="H19">
        <v>4.169215284141629E-3</v>
      </c>
      <c r="I19">
        <v>-2.9606844326124699</v>
      </c>
      <c r="J19">
        <v>0.42816173811119429</v>
      </c>
      <c r="M19" t="str">
        <f t="shared" si="0"/>
        <v>1.521 ± 0.05</v>
      </c>
      <c r="N19" t="str">
        <f t="shared" si="1"/>
        <v>-0.042 ± 0.012</v>
      </c>
      <c r="O19" t="str">
        <f t="shared" si="2"/>
        <v>-0.014 ± 0.004</v>
      </c>
      <c r="P19" t="str">
        <f t="shared" si="3"/>
        <v>-2.96 ± 0.43</v>
      </c>
      <c r="R19" s="1">
        <f t="shared" si="4"/>
        <v>37.355443401806035</v>
      </c>
      <c r="W19" s="3">
        <v>1.3089999999999999</v>
      </c>
      <c r="X19" s="1">
        <f t="shared" si="5"/>
        <v>32.498858270132956</v>
      </c>
      <c r="Y19" s="6"/>
      <c r="Z19" s="3">
        <v>33.6</v>
      </c>
      <c r="AA19" s="6"/>
    </row>
    <row r="20" spans="1:27" ht="16" thickBot="1" x14ac:dyDescent="0.25">
      <c r="A20" t="s">
        <v>28</v>
      </c>
      <c r="B20">
        <v>299.04000000000002</v>
      </c>
      <c r="C20">
        <v>1.5152396016429821</v>
      </c>
      <c r="D20">
        <v>5.0636776588149968E-2</v>
      </c>
      <c r="E20">
        <v>-4.1631587936920712E-2</v>
      </c>
      <c r="F20">
        <v>1.27830660588528E-2</v>
      </c>
      <c r="G20">
        <v>-1.422524822042996E-2</v>
      </c>
      <c r="H20">
        <v>4.1376741523326118E-3</v>
      </c>
      <c r="I20">
        <v>-2.9737626780658579</v>
      </c>
      <c r="J20">
        <v>0.4319880395841087</v>
      </c>
      <c r="M20" t="str">
        <f t="shared" si="0"/>
        <v>1.515 ± 0.051</v>
      </c>
      <c r="N20" t="str">
        <f t="shared" si="1"/>
        <v>-0.042 ± 0.013</v>
      </c>
      <c r="O20" t="str">
        <f t="shared" si="2"/>
        <v>-0.014 ± 0.004</v>
      </c>
      <c r="P20" t="str">
        <f t="shared" si="3"/>
        <v>-2.97 ± 0.43</v>
      </c>
      <c r="R20" s="1">
        <f t="shared" si="4"/>
        <v>37.219256324803794</v>
      </c>
      <c r="W20" s="4">
        <v>1.3240000000000001</v>
      </c>
      <c r="X20" s="1">
        <f t="shared" si="5"/>
        <v>32.842161303013462</v>
      </c>
      <c r="Y20" s="6"/>
      <c r="Z20" s="4">
        <v>34.299999999999997</v>
      </c>
      <c r="AA20" s="6"/>
    </row>
    <row r="21" spans="1:27" ht="17" thickTop="1" thickBot="1" x14ac:dyDescent="0.25">
      <c r="A21" t="s">
        <v>29</v>
      </c>
      <c r="B21">
        <v>401.43666666666672</v>
      </c>
      <c r="C21">
        <v>1.495156415712829</v>
      </c>
      <c r="D21">
        <v>5.7982022095607683E-2</v>
      </c>
      <c r="E21">
        <v>-3.9995221379425148E-2</v>
      </c>
      <c r="F21">
        <v>1.0939490693711831E-2</v>
      </c>
      <c r="G21">
        <v>-1.1951587382342491E-2</v>
      </c>
      <c r="H21">
        <v>3.510854336216983E-3</v>
      </c>
      <c r="I21">
        <v>-2.846396716732674</v>
      </c>
      <c r="J21">
        <v>0.39929865772321849</v>
      </c>
      <c r="M21" t="str">
        <f t="shared" si="0"/>
        <v>1.495 ± 0.058</v>
      </c>
      <c r="N21" t="str">
        <f t="shared" si="1"/>
        <v>-0.04 ± 0.011</v>
      </c>
      <c r="O21" t="str">
        <f t="shared" si="2"/>
        <v>-0.012 ± 0.004</v>
      </c>
      <c r="P21" t="str">
        <f t="shared" si="3"/>
        <v>-2.85 ± 0.4</v>
      </c>
      <c r="R21" s="1">
        <f t="shared" si="4"/>
        <v>36.758899703456557</v>
      </c>
      <c r="W21" s="3">
        <v>1.337</v>
      </c>
      <c r="X21" s="1">
        <f t="shared" si="5"/>
        <v>33.1396263237515</v>
      </c>
      <c r="Y21" s="6">
        <f>AVERAGE(X21:X25)</f>
        <v>32.988580602392211</v>
      </c>
      <c r="Z21" s="3">
        <v>35.799999999999997</v>
      </c>
      <c r="AA21" s="6">
        <f>AVERAGE(Z21:Z25)</f>
        <v>35.339999999999996</v>
      </c>
    </row>
    <row r="22" spans="1:27" ht="16" thickBot="1" x14ac:dyDescent="0.25">
      <c r="A22" t="s">
        <v>30</v>
      </c>
      <c r="B22">
        <v>48.887816003333327</v>
      </c>
      <c r="C22">
        <v>1.5556235984944431</v>
      </c>
      <c r="D22">
        <v>5.2861724753797953E-2</v>
      </c>
      <c r="E22">
        <v>-4.1619932136148473E-2</v>
      </c>
      <c r="F22">
        <v>1.341089330591861E-2</v>
      </c>
      <c r="G22">
        <v>-1.433629764627032E-2</v>
      </c>
      <c r="H22">
        <v>4.7290502424626899E-3</v>
      </c>
      <c r="I22">
        <v>-3.0528546576117348</v>
      </c>
      <c r="J22">
        <v>0.45361404000344718</v>
      </c>
      <c r="M22" t="str">
        <f t="shared" si="0"/>
        <v>1.556 ± 0.053</v>
      </c>
      <c r="N22" t="str">
        <f t="shared" si="1"/>
        <v>-0.042 ± 0.013</v>
      </c>
      <c r="O22" t="str">
        <f t="shared" si="2"/>
        <v>-0.014 ± 0.005</v>
      </c>
      <c r="P22" t="str">
        <f t="shared" si="3"/>
        <v>-3.05 ± 0.45</v>
      </c>
      <c r="R22" s="1">
        <f t="shared" si="4"/>
        <v>38.146076148210028</v>
      </c>
      <c r="W22" s="3">
        <v>1.3120000000000001</v>
      </c>
      <c r="X22" s="1">
        <f t="shared" si="5"/>
        <v>32.567526122753662</v>
      </c>
      <c r="Y22" s="5"/>
      <c r="Z22" s="3">
        <v>36.299999999999997</v>
      </c>
      <c r="AA22" s="6"/>
    </row>
    <row r="23" spans="1:27" ht="16" thickBot="1" x14ac:dyDescent="0.25">
      <c r="A23" t="s">
        <v>31</v>
      </c>
      <c r="B23">
        <v>99.197249999999997</v>
      </c>
      <c r="C23">
        <v>1.5533094309980939</v>
      </c>
      <c r="D23">
        <v>5.1999707769360963E-2</v>
      </c>
      <c r="E23">
        <v>-4.0660760451043207E-2</v>
      </c>
      <c r="F23">
        <v>1.3135206750567041E-2</v>
      </c>
      <c r="G23">
        <v>-1.4033441465045361E-2</v>
      </c>
      <c r="H23">
        <v>4.5221428592918198E-3</v>
      </c>
      <c r="I23">
        <v>-3.0425090050011629</v>
      </c>
      <c r="J23">
        <v>0.4497869718511322</v>
      </c>
      <c r="M23" t="str">
        <f t="shared" si="0"/>
        <v>1.553 ± 0.052</v>
      </c>
      <c r="N23" t="str">
        <f t="shared" si="1"/>
        <v>-0.041 ± 0.013</v>
      </c>
      <c r="O23" t="str">
        <f t="shared" si="2"/>
        <v>-0.014 ± 0.005</v>
      </c>
      <c r="P23" t="str">
        <f t="shared" si="3"/>
        <v>-3.04 ± 0.45</v>
      </c>
      <c r="R23" s="1">
        <f t="shared" si="4"/>
        <v>38.092919278204626</v>
      </c>
      <c r="W23" s="3">
        <v>1.3240000000000001</v>
      </c>
      <c r="X23" s="1">
        <f t="shared" si="5"/>
        <v>32.842161303013462</v>
      </c>
      <c r="Y23" s="5"/>
      <c r="Z23" s="3">
        <v>35.1</v>
      </c>
      <c r="AA23" s="6"/>
    </row>
    <row r="24" spans="1:27" ht="16" thickBot="1" x14ac:dyDescent="0.25">
      <c r="A24" t="s">
        <v>32</v>
      </c>
      <c r="B24">
        <v>199.69666666666669</v>
      </c>
      <c r="C24">
        <v>1.5578003353731851</v>
      </c>
      <c r="D24">
        <v>5.0440816927506883E-2</v>
      </c>
      <c r="E24">
        <v>-4.0493833565703748E-2</v>
      </c>
      <c r="F24">
        <v>1.334244475143921E-2</v>
      </c>
      <c r="G24">
        <v>-1.436881006402003E-2</v>
      </c>
      <c r="H24">
        <v>4.5540079474119203E-3</v>
      </c>
      <c r="I24">
        <v>-3.0439977082828888</v>
      </c>
      <c r="J24">
        <v>0.4479994837975243</v>
      </c>
      <c r="M24" t="str">
        <f t="shared" si="0"/>
        <v>1.558 ± 0.05</v>
      </c>
      <c r="N24" t="str">
        <f t="shared" si="1"/>
        <v>-0.04 ± 0.013</v>
      </c>
      <c r="O24" t="str">
        <f t="shared" si="2"/>
        <v>-0.014 ± 0.005</v>
      </c>
      <c r="P24" t="str">
        <f t="shared" si="3"/>
        <v>-3.04 ± 0.45</v>
      </c>
      <c r="R24" s="1">
        <f t="shared" si="4"/>
        <v>38.196081843858813</v>
      </c>
      <c r="W24" s="3">
        <v>1.3240000000000001</v>
      </c>
      <c r="X24" s="1">
        <f t="shared" si="5"/>
        <v>32.842161303013462</v>
      </c>
      <c r="Y24" s="5"/>
      <c r="Z24" s="3">
        <v>34.9</v>
      </c>
      <c r="AA24" s="6"/>
    </row>
    <row r="25" spans="1:27" ht="16" thickBot="1" x14ac:dyDescent="0.25">
      <c r="A25" t="s">
        <v>33</v>
      </c>
      <c r="B25">
        <v>300.84333333333331</v>
      </c>
      <c r="C25">
        <v>1.537386013159785</v>
      </c>
      <c r="D25">
        <v>5.5866759967500727E-2</v>
      </c>
      <c r="E25">
        <v>-4.0621505890076667E-2</v>
      </c>
      <c r="F25">
        <v>1.2872191664486349E-2</v>
      </c>
      <c r="G25">
        <v>-1.4044474898818479E-2</v>
      </c>
      <c r="H25">
        <v>4.5561531009378998E-3</v>
      </c>
      <c r="I25">
        <v>-3.021420874156334</v>
      </c>
      <c r="J25">
        <v>0.44442749697481082</v>
      </c>
      <c r="M25" t="str">
        <f t="shared" si="0"/>
        <v>1.537 ± 0.056</v>
      </c>
      <c r="N25" t="str">
        <f t="shared" si="1"/>
        <v>-0.041 ± 0.013</v>
      </c>
      <c r="O25" t="str">
        <f t="shared" si="2"/>
        <v>-0.014 ± 0.005</v>
      </c>
      <c r="P25" t="str">
        <f t="shared" si="3"/>
        <v>-3.02 ± 0.44</v>
      </c>
      <c r="R25" s="1">
        <f t="shared" si="4"/>
        <v>37.727315597649422</v>
      </c>
      <c r="W25" s="4">
        <v>1.355</v>
      </c>
      <c r="X25" s="1">
        <f t="shared" si="5"/>
        <v>33.551427959428977</v>
      </c>
      <c r="Y25" s="5"/>
      <c r="Z25" s="4">
        <v>34.6</v>
      </c>
      <c r="AA25" s="6"/>
    </row>
    <row r="26" spans="1:27" ht="17" thickTop="1" thickBot="1" x14ac:dyDescent="0.25">
      <c r="A26" t="s">
        <v>34</v>
      </c>
      <c r="B26">
        <v>398.49333333333328</v>
      </c>
      <c r="C26">
        <v>1.5106284001467249</v>
      </c>
      <c r="D26">
        <v>5.0423091148906522E-2</v>
      </c>
      <c r="E26">
        <v>-4.0344195584788661E-2</v>
      </c>
      <c r="F26">
        <v>1.2898896135909501E-2</v>
      </c>
      <c r="G26">
        <v>-1.430161806083661E-2</v>
      </c>
      <c r="H26">
        <v>4.3184482892702006E-3</v>
      </c>
      <c r="I26">
        <v>-3.0118221335610742</v>
      </c>
      <c r="J26">
        <v>0.43624394368721808</v>
      </c>
      <c r="M26" t="str">
        <f t="shared" si="0"/>
        <v>1.511 ± 0.05</v>
      </c>
      <c r="N26" t="str">
        <f t="shared" si="1"/>
        <v>-0.04 ± 0.013</v>
      </c>
      <c r="O26" t="str">
        <f t="shared" si="2"/>
        <v>-0.014 ± 0.004</v>
      </c>
      <c r="P26" t="str">
        <f t="shared" si="3"/>
        <v>-3.01 ± 0.44</v>
      </c>
      <c r="R26" s="1">
        <f t="shared" si="4"/>
        <v>37.113527147045637</v>
      </c>
      <c r="W26" s="3">
        <v>1.3120000000000001</v>
      </c>
      <c r="X26" s="1">
        <f t="shared" si="5"/>
        <v>32.567526122753662</v>
      </c>
      <c r="Y26" s="6">
        <f>AVERAGE(X26:X30)</f>
        <v>32.567526122753662</v>
      </c>
      <c r="Z26" s="3">
        <v>38.700000000000003</v>
      </c>
      <c r="AA26" s="6">
        <f>AVERAGE(Z26:Z30)</f>
        <v>36.46</v>
      </c>
    </row>
    <row r="27" spans="1:27" ht="16" thickBot="1" x14ac:dyDescent="0.25">
      <c r="W27" s="3">
        <v>1.3120000000000001</v>
      </c>
      <c r="X27" s="1">
        <f t="shared" si="5"/>
        <v>32.567526122753662</v>
      </c>
      <c r="Y27" s="5"/>
      <c r="Z27" s="3">
        <v>36.5</v>
      </c>
      <c r="AA27" s="6"/>
    </row>
    <row r="28" spans="1:27" ht="16" thickBot="1" x14ac:dyDescent="0.25">
      <c r="W28" s="3">
        <v>1.3120000000000001</v>
      </c>
      <c r="X28" s="1">
        <f t="shared" si="5"/>
        <v>32.567526122753662</v>
      </c>
      <c r="Y28" s="5"/>
      <c r="Z28" s="3">
        <v>35.4</v>
      </c>
      <c r="AA28" s="6"/>
    </row>
    <row r="29" spans="1:27" ht="16" thickBot="1" x14ac:dyDescent="0.25">
      <c r="W29" s="3">
        <v>1.3120000000000001</v>
      </c>
      <c r="X29" s="1">
        <f t="shared" si="5"/>
        <v>32.567526122753662</v>
      </c>
      <c r="Y29" s="5"/>
      <c r="Z29" s="3">
        <v>35.700000000000003</v>
      </c>
      <c r="AA29" s="6"/>
    </row>
    <row r="30" spans="1:27" ht="16" thickBot="1" x14ac:dyDescent="0.25">
      <c r="W30" s="4">
        <v>1.3120000000000001</v>
      </c>
      <c r="X30" s="1">
        <f t="shared" si="5"/>
        <v>32.567526122753662</v>
      </c>
      <c r="Y30" s="5"/>
      <c r="Z30" s="4">
        <v>36</v>
      </c>
      <c r="AA30" s="6"/>
    </row>
    <row r="31" spans="1:27" ht="17" thickTop="1" thickBot="1" x14ac:dyDescent="0.25">
      <c r="W31" s="3">
        <v>1.343</v>
      </c>
      <c r="X31" s="1">
        <f t="shared" si="5"/>
        <v>33.276901588891597</v>
      </c>
      <c r="Y31" s="6">
        <f>AVERAGE(X31:X35)</f>
        <v>33.931205089380725</v>
      </c>
      <c r="Z31" s="3">
        <v>39.1</v>
      </c>
      <c r="AA31" s="6">
        <f>AVERAGE(Z31:Z35)</f>
        <v>37.940000000000005</v>
      </c>
    </row>
    <row r="32" spans="1:27" ht="16" thickBot="1" x14ac:dyDescent="0.25">
      <c r="W32" s="3">
        <v>1.341</v>
      </c>
      <c r="X32" s="1">
        <f t="shared" si="5"/>
        <v>33.231144174210087</v>
      </c>
      <c r="Y32" s="5"/>
      <c r="Z32" s="3">
        <v>38</v>
      </c>
      <c r="AA32" s="6"/>
    </row>
    <row r="33" spans="23:27" ht="16" thickBot="1" x14ac:dyDescent="0.25">
      <c r="W33" s="3">
        <v>1.4570000000000001</v>
      </c>
      <c r="X33" s="1">
        <f t="shared" si="5"/>
        <v>35.885027310120996</v>
      </c>
      <c r="Y33" s="5"/>
      <c r="Z33" s="3">
        <v>37.9</v>
      </c>
      <c r="AA33" s="6"/>
    </row>
    <row r="34" spans="23:27" ht="16" thickBot="1" x14ac:dyDescent="0.25">
      <c r="W34" s="3">
        <v>1.343</v>
      </c>
      <c r="X34" s="1">
        <f t="shared" si="5"/>
        <v>33.276901588891597</v>
      </c>
      <c r="Y34" s="5"/>
      <c r="Z34" s="3">
        <v>38.299999999999997</v>
      </c>
      <c r="AA34" s="6"/>
    </row>
    <row r="35" spans="23:27" ht="16" thickBot="1" x14ac:dyDescent="0.25">
      <c r="W35" s="4">
        <v>1.3740000000000001</v>
      </c>
      <c r="X35" s="1">
        <f t="shared" si="5"/>
        <v>33.986050784789342</v>
      </c>
      <c r="Y35" s="5"/>
      <c r="Z35" s="4">
        <v>36.4</v>
      </c>
      <c r="AA35" s="6"/>
    </row>
    <row r="36" spans="23:27" ht="17" thickTop="1" thickBot="1" x14ac:dyDescent="0.25">
      <c r="W36" s="3">
        <v>1.345</v>
      </c>
      <c r="X36" s="1">
        <f t="shared" si="5"/>
        <v>33.32265806057071</v>
      </c>
      <c r="Y36" s="6">
        <f>AVERAGE(X36:X40)</f>
        <v>33.299779847705288</v>
      </c>
      <c r="Z36" s="3">
        <v>40</v>
      </c>
      <c r="AA36" s="6">
        <f>AVERAGE(Z36:Z40)</f>
        <v>39.4</v>
      </c>
    </row>
    <row r="37" spans="23:27" ht="16" thickBot="1" x14ac:dyDescent="0.25">
      <c r="W37" s="3">
        <v>1.3440000000000001</v>
      </c>
      <c r="X37" s="1">
        <f t="shared" si="5"/>
        <v>33.299779939601812</v>
      </c>
      <c r="Y37" s="5"/>
      <c r="Z37" s="3">
        <v>39.799999999999997</v>
      </c>
      <c r="AA37" s="6"/>
    </row>
    <row r="38" spans="23:27" ht="16" thickBot="1" x14ac:dyDescent="0.25">
      <c r="W38" s="3">
        <v>1.345</v>
      </c>
      <c r="X38" s="1">
        <f t="shared" si="5"/>
        <v>33.32265806057071</v>
      </c>
      <c r="Y38" s="5"/>
      <c r="Z38" s="3">
        <v>40</v>
      </c>
      <c r="AA38" s="6"/>
    </row>
    <row r="39" spans="23:27" ht="16" thickBot="1" x14ac:dyDescent="0.25">
      <c r="W39" s="3">
        <v>1.343</v>
      </c>
      <c r="X39" s="1">
        <f t="shared" si="5"/>
        <v>33.276901588891597</v>
      </c>
      <c r="Y39" s="5"/>
      <c r="Z39" s="3">
        <v>39.1</v>
      </c>
      <c r="AA39" s="6"/>
    </row>
    <row r="40" spans="23:27" ht="16" thickBot="1" x14ac:dyDescent="0.25">
      <c r="W40" s="3">
        <v>1.343</v>
      </c>
      <c r="X40" s="1">
        <f t="shared" si="5"/>
        <v>33.276901588891597</v>
      </c>
      <c r="Y40" s="5"/>
      <c r="Z40" s="3">
        <v>38.1</v>
      </c>
      <c r="AA40" s="6"/>
    </row>
  </sheetData>
  <mergeCells count="10">
    <mergeCell ref="Y16:Y20"/>
    <mergeCell ref="Y21:Y25"/>
    <mergeCell ref="Y26:Y30"/>
    <mergeCell ref="Y31:Y35"/>
    <mergeCell ref="Y36:Y40"/>
    <mergeCell ref="AA36:AA40"/>
    <mergeCell ref="AA16:AA20"/>
    <mergeCell ref="AA21:AA25"/>
    <mergeCell ref="AA26:AA30"/>
    <mergeCell ref="AA31:AA3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Lambert Nguyen</cp:lastModifiedBy>
  <dcterms:created xsi:type="dcterms:W3CDTF">2026-07-17T22:54:00Z</dcterms:created>
  <dcterms:modified xsi:type="dcterms:W3CDTF">2026-07-18T02:42:18Z</dcterms:modified>
</cp:coreProperties>
</file>