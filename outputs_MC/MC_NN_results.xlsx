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ambert/Documents/UBC/Final Paper/UBC EOSC Capstone Project/outputs_MC/"/>
    </mc:Choice>
  </mc:AlternateContent>
  <xr:revisionPtr revIDLastSave="0" documentId="13_ncr:1_{0ADF58E7-F829-B444-8D54-1614E8B09E7B}" xr6:coauthVersionLast="47" xr6:coauthVersionMax="47" xr10:uidLastSave="{00000000-0000-0000-0000-000000000000}"/>
  <bookViews>
    <workbookView xWindow="0" yWindow="660" windowWidth="3456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<sst xmlns="http://schemas.openxmlformats.org/spreadsheetml/2006/main" count="37" uniqueCount="37">
  <si>
    <t>Test</t>
  </si>
  <si>
    <t>sigma3</t>
  </si>
  <si>
    <t>K_NN (kPa)</t>
  </si>
  <si>
    <t>K_std</t>
  </si>
  <si>
    <t>G_NN (kPa)</t>
  </si>
  <si>
    <t>G_std</t>
  </si>
  <si>
    <t>phi_NN (°)</t>
  </si>
  <si>
    <t>phi_std</t>
  </si>
  <si>
    <t>psi_NN (°)</t>
  </si>
  <si>
    <t>psi_std</t>
  </si>
  <si>
    <t>TMD1</t>
  </si>
  <si>
    <t>TMD2</t>
  </si>
  <si>
    <t>TMD3</t>
  </si>
  <si>
    <t>TMD4</t>
  </si>
  <si>
    <t>TMD5</t>
  </si>
  <si>
    <t>TMD6</t>
  </si>
  <si>
    <t>TMD7</t>
  </si>
  <si>
    <t>TMD8</t>
  </si>
  <si>
    <t>TMD9</t>
  </si>
  <si>
    <t>TMD10</t>
  </si>
  <si>
    <t>TMD11</t>
  </si>
  <si>
    <t>TMD12</t>
  </si>
  <si>
    <t>TMD13</t>
  </si>
  <si>
    <t>TMD14</t>
  </si>
  <si>
    <t>TMD15</t>
  </si>
  <si>
    <t>TMD16</t>
  </si>
  <si>
    <t>TMD17</t>
  </si>
  <si>
    <t>TMD18</t>
  </si>
  <si>
    <t>TMD19</t>
  </si>
  <si>
    <t>TMD20</t>
  </si>
  <si>
    <t>TMD21</t>
  </si>
  <si>
    <t>TMD22</t>
  </si>
  <si>
    <t>TMD23</t>
  </si>
  <si>
    <t>TMD24</t>
  </si>
  <si>
    <t>TMD25</t>
  </si>
  <si>
    <t>K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</si>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</sst>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26" sqref="M2:M26"/>
    </sheetView>
  </sheetViews>
  <sheetFormatPr baseColWidth="10" defaultColWidth="8.83203125" defaultRowHeight="15" x14ac:dyDescent="0.2"/>
  <cols>
    <col min="12" max="12" width="11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35</v>
      </c>
      <c r="M1" t="s">
        <v>36</v>
      </c>
    </row>
    <row r="2" spans="1:13" x14ac:dyDescent="0.2">
      <c r="A2" t="s">
        <v>10</v>
      </c>
      <c r="B2" s="2">
        <v>50.579594001333327</v>
      </c>
      <c r="C2" s="2">
        <v>3621.8603709338072</v>
      </c>
      <c r="D2" s="2">
        <v>1730.5414109283879</v>
      </c>
      <c r="E2" s="2">
        <v>1196.693593534588</v>
      </c>
      <c r="F2" s="2">
        <v>1008.520297642362</v>
      </c>
      <c r="G2" s="1">
        <v>33.864874006622827</v>
      </c>
      <c r="H2" s="1">
        <v>0.14193505288527669</v>
      </c>
      <c r="I2" s="1">
        <v>0.69572069955841431</v>
      </c>
      <c r="J2" s="1">
        <v>0.23479358887196741</v>
      </c>
      <c r="L2" t="str">
        <f>ROUND(C2,0)&amp;" ± "&amp;ROUND(D2,-2)</f>
        <v>3622 ± 1700</v>
      </c>
      <c r="M2" t="str">
        <f>ROUND(E2,0)&amp;" ± "&amp;ROUND(F2,-2)</f>
        <v>1197 ± 1000</v>
      </c>
    </row>
    <row r="3" spans="1:13" x14ac:dyDescent="0.2">
      <c r="A3" t="s">
        <v>11</v>
      </c>
      <c r="B3" s="2">
        <v>100.17515666666669</v>
      </c>
      <c r="C3" s="2">
        <v>7750.7359865653762</v>
      </c>
      <c r="D3" s="2">
        <v>1068.5927840437189</v>
      </c>
      <c r="E3" s="2">
        <v>5590.4294519536579</v>
      </c>
      <c r="F3" s="2">
        <v>540.66907244244533</v>
      </c>
      <c r="G3" s="1">
        <v>33.699907615049241</v>
      </c>
      <c r="H3" s="1">
        <v>7.2385639878329716E-2</v>
      </c>
      <c r="I3" s="1">
        <v>0.91408381776762582</v>
      </c>
      <c r="J3" s="1">
        <v>0.19575458467863299</v>
      </c>
      <c r="L3" t="str">
        <f t="shared" ref="L3:L26" si="0">ROUND(C3,0)&amp;" ± "&amp;ROUND(D3,-2)</f>
        <v>7751 ± 1100</v>
      </c>
      <c r="M3" t="str">
        <f t="shared" ref="M3:M26" si="1">ROUND(E3,0)&amp;" ± "&amp;ROUND(F3,-2)</f>
        <v>5590 ± 500</v>
      </c>
    </row>
    <row r="4" spans="1:13" x14ac:dyDescent="0.2">
      <c r="A4" t="s">
        <v>12</v>
      </c>
      <c r="B4" s="2">
        <v>200.97666666666669</v>
      </c>
      <c r="C4" s="2">
        <v>9387.1845357942311</v>
      </c>
      <c r="D4" s="2">
        <v>527.7419133548799</v>
      </c>
      <c r="E4" s="2">
        <v>13408.69349091133</v>
      </c>
      <c r="F4" s="2">
        <v>420.50825498742302</v>
      </c>
      <c r="G4" s="1">
        <v>34.126103430534357</v>
      </c>
      <c r="H4" s="1">
        <v>3.6368580574230737E-2</v>
      </c>
      <c r="I4" s="1">
        <v>0.76473667186612715</v>
      </c>
      <c r="J4" s="1">
        <v>0.18504091390342431</v>
      </c>
      <c r="L4" t="str">
        <f t="shared" si="0"/>
        <v>9387 ± 500</v>
      </c>
      <c r="M4" t="str">
        <f t="shared" si="1"/>
        <v>13409 ± 400</v>
      </c>
    </row>
    <row r="5" spans="1:13" x14ac:dyDescent="0.2">
      <c r="A5" t="s">
        <v>13</v>
      </c>
      <c r="B5" s="2">
        <v>300.01333333333332</v>
      </c>
      <c r="C5" s="2">
        <v>14050.49406158067</v>
      </c>
      <c r="D5" s="2">
        <v>690.57577213446484</v>
      </c>
      <c r="E5" s="2">
        <v>34134.585386813858</v>
      </c>
      <c r="F5" s="2">
        <v>449.1906121140949</v>
      </c>
      <c r="G5" s="1">
        <v>33.212160770313581</v>
      </c>
      <c r="H5" s="1">
        <v>7.1664957933450846E-2</v>
      </c>
      <c r="I5" s="1">
        <v>0.44292188055365378</v>
      </c>
      <c r="J5" s="1">
        <v>0.1408685692927816</v>
      </c>
      <c r="L5" t="str">
        <f t="shared" si="0"/>
        <v>14050 ± 700</v>
      </c>
      <c r="M5" t="str">
        <f t="shared" si="1"/>
        <v>34135 ± 400</v>
      </c>
    </row>
    <row r="6" spans="1:13" x14ac:dyDescent="0.2">
      <c r="A6" t="s">
        <v>14</v>
      </c>
      <c r="B6" s="2">
        <v>398.30333333333328</v>
      </c>
      <c r="C6" s="2">
        <v>15143.423751748231</v>
      </c>
      <c r="D6" s="2">
        <v>1340.8178712598581</v>
      </c>
      <c r="E6" s="2">
        <v>28629.54682547077</v>
      </c>
      <c r="F6" s="2">
        <v>639.37013214257013</v>
      </c>
      <c r="G6" s="1">
        <v>33.336863612734319</v>
      </c>
      <c r="H6" s="1">
        <v>6.054721410399979E-2</v>
      </c>
      <c r="I6" s="1">
        <v>0.59969880226652506</v>
      </c>
      <c r="J6" s="1">
        <v>0.17550936299571179</v>
      </c>
      <c r="L6" t="str">
        <f t="shared" si="0"/>
        <v>15143 ± 1300</v>
      </c>
      <c r="M6" t="str">
        <f t="shared" si="1"/>
        <v>28630 ± 600</v>
      </c>
    </row>
    <row r="7" spans="1:13" x14ac:dyDescent="0.2">
      <c r="A7" t="s">
        <v>15</v>
      </c>
      <c r="B7" s="2">
        <v>49.936347995666672</v>
      </c>
      <c r="C7" s="2">
        <v>9799.8974418864636</v>
      </c>
      <c r="D7" s="2">
        <v>2880.799283313509</v>
      </c>
      <c r="E7" s="2">
        <v>-2083.4164037164551</v>
      </c>
      <c r="F7" s="2">
        <v>819.08973432890889</v>
      </c>
      <c r="G7" s="1">
        <v>37.145808647609464</v>
      </c>
      <c r="H7" s="1">
        <v>0.18980423457039111</v>
      </c>
      <c r="I7" s="1">
        <v>3.6869356713871291</v>
      </c>
      <c r="J7" s="1">
        <v>0.22415905291561991</v>
      </c>
      <c r="L7" t="str">
        <f t="shared" si="0"/>
        <v>9800 ± 2900</v>
      </c>
      <c r="M7" t="str">
        <f t="shared" si="1"/>
        <v>-2083 ± 800</v>
      </c>
    </row>
    <row r="8" spans="1:13" x14ac:dyDescent="0.2">
      <c r="A8" t="s">
        <v>16</v>
      </c>
      <c r="B8" s="2">
        <v>100.6014666666667</v>
      </c>
      <c r="C8" s="2">
        <v>17156.01060680734</v>
      </c>
      <c r="D8" s="2">
        <v>1598.059700399974</v>
      </c>
      <c r="E8" s="2">
        <v>5717.9040061000633</v>
      </c>
      <c r="F8" s="2">
        <v>530.80580602029488</v>
      </c>
      <c r="G8" s="1">
        <v>37.4295194588112</v>
      </c>
      <c r="H8" s="1">
        <v>6.220914580534187E-2</v>
      </c>
      <c r="I8" s="1">
        <v>3.7287123623689071</v>
      </c>
      <c r="J8" s="1">
        <v>0.1248435250506881</v>
      </c>
      <c r="L8" t="str">
        <f t="shared" si="0"/>
        <v>17156 ± 1600</v>
      </c>
      <c r="M8" t="str">
        <f t="shared" si="1"/>
        <v>5718 ± 500</v>
      </c>
    </row>
    <row r="9" spans="1:13" x14ac:dyDescent="0.2">
      <c r="A9" t="s">
        <v>17</v>
      </c>
      <c r="B9" s="2">
        <v>199.16666666666671</v>
      </c>
      <c r="C9" s="2">
        <v>21850.002434655671</v>
      </c>
      <c r="D9" s="2">
        <v>755.5324599947503</v>
      </c>
      <c r="E9" s="2">
        <v>9924.1882571725728</v>
      </c>
      <c r="F9" s="2">
        <v>414.14125336229318</v>
      </c>
      <c r="G9" s="1">
        <v>36.304270659251948</v>
      </c>
      <c r="H9" s="1">
        <v>2.758604803525587E-2</v>
      </c>
      <c r="I9" s="1">
        <v>3.3420047149619512</v>
      </c>
      <c r="J9" s="1">
        <v>0.11703773138967211</v>
      </c>
      <c r="L9" t="str">
        <f t="shared" si="0"/>
        <v>21850 ± 800</v>
      </c>
      <c r="M9" t="str">
        <f t="shared" si="1"/>
        <v>9924 ± 400</v>
      </c>
    </row>
    <row r="10" spans="1:13" x14ac:dyDescent="0.2">
      <c r="A10" t="s">
        <v>18</v>
      </c>
      <c r="B10" s="2">
        <v>298.45</v>
      </c>
      <c r="C10" s="2">
        <v>33445.313305612028</v>
      </c>
      <c r="D10" s="2">
        <v>951.60605172084729</v>
      </c>
      <c r="E10" s="2">
        <v>19381.18025894271</v>
      </c>
      <c r="F10" s="2">
        <v>295.85007140445578</v>
      </c>
      <c r="G10" s="1">
        <v>36.170363416572613</v>
      </c>
      <c r="H10" s="1">
        <v>2.6086683336611741E-2</v>
      </c>
      <c r="I10" s="1">
        <v>3.084997484082598</v>
      </c>
      <c r="J10" s="1">
        <v>0.13138127272922209</v>
      </c>
      <c r="L10" t="str">
        <f t="shared" si="0"/>
        <v>33445 ± 1000</v>
      </c>
      <c r="M10" t="str">
        <f t="shared" si="1"/>
        <v>19381 ± 300</v>
      </c>
    </row>
    <row r="11" spans="1:13" x14ac:dyDescent="0.2">
      <c r="A11" t="s">
        <v>19</v>
      </c>
      <c r="B11" s="2">
        <v>400.54170402</v>
      </c>
      <c r="C11" s="2">
        <v>35412.850949661472</v>
      </c>
      <c r="D11" s="2">
        <v>757.87208242768315</v>
      </c>
      <c r="E11" s="2">
        <v>22903.57231624646</v>
      </c>
      <c r="F11" s="2">
        <v>346.48653453873618</v>
      </c>
      <c r="G11" s="1">
        <v>35.723204064251213</v>
      </c>
      <c r="H11" s="1">
        <v>2.0610662005026412E-2</v>
      </c>
      <c r="I11" s="1">
        <v>2.283209168007807</v>
      </c>
      <c r="J11" s="1">
        <v>0.1443364436401445</v>
      </c>
      <c r="L11" t="str">
        <f t="shared" si="0"/>
        <v>35413 ± 800</v>
      </c>
      <c r="M11" t="str">
        <f t="shared" si="1"/>
        <v>22904 ± 300</v>
      </c>
    </row>
    <row r="12" spans="1:13" x14ac:dyDescent="0.2">
      <c r="A12" t="s">
        <v>20</v>
      </c>
      <c r="B12" s="2">
        <v>50.915429502666669</v>
      </c>
      <c r="C12" s="2">
        <v>19163.79081760137</v>
      </c>
      <c r="D12" s="2">
        <v>2537.4395203431191</v>
      </c>
      <c r="E12" s="2">
        <v>749.23014375529931</v>
      </c>
      <c r="F12" s="2">
        <v>591.87175741185081</v>
      </c>
      <c r="G12" s="1">
        <v>39.94381804824048</v>
      </c>
      <c r="H12" s="1">
        <v>0.15767881376253931</v>
      </c>
      <c r="I12" s="1">
        <v>4.8857144706629088</v>
      </c>
      <c r="J12" s="1">
        <v>0.24311317280526279</v>
      </c>
      <c r="L12" t="str">
        <f t="shared" si="0"/>
        <v>19164 ± 2500</v>
      </c>
      <c r="M12" t="str">
        <f t="shared" si="1"/>
        <v>749 ± 600</v>
      </c>
    </row>
    <row r="13" spans="1:13" x14ac:dyDescent="0.2">
      <c r="A13" t="s">
        <v>21</v>
      </c>
      <c r="B13" s="2">
        <v>100.56434</v>
      </c>
      <c r="C13" s="2">
        <v>37151.29034604656</v>
      </c>
      <c r="D13" s="2">
        <v>2147.994851310249</v>
      </c>
      <c r="E13" s="2">
        <v>6096.7800460669814</v>
      </c>
      <c r="F13" s="2">
        <v>336.0045861094423</v>
      </c>
      <c r="G13" s="1">
        <v>38.344677901386071</v>
      </c>
      <c r="H13" s="1">
        <v>8.9094921847348976E-2</v>
      </c>
      <c r="I13" s="1">
        <v>3.8698941567041159</v>
      </c>
      <c r="J13" s="1">
        <v>0.14394430115666301</v>
      </c>
      <c r="L13" t="str">
        <f t="shared" si="0"/>
        <v>37151 ± 2100</v>
      </c>
      <c r="M13" t="str">
        <f t="shared" si="1"/>
        <v>6097 ± 300</v>
      </c>
    </row>
    <row r="14" spans="1:13" x14ac:dyDescent="0.2">
      <c r="A14" t="s">
        <v>22</v>
      </c>
      <c r="B14" s="2">
        <v>199.81666666666669</v>
      </c>
      <c r="C14" s="2">
        <v>41420.523811458363</v>
      </c>
      <c r="D14" s="2">
        <v>864.02323066614326</v>
      </c>
      <c r="E14" s="2">
        <v>15375.2294376099</v>
      </c>
      <c r="F14" s="2">
        <v>378.87839937359422</v>
      </c>
      <c r="G14" s="1">
        <v>36.876720560341653</v>
      </c>
      <c r="H14" s="1">
        <v>4.8247754820262168E-2</v>
      </c>
      <c r="I14" s="1">
        <v>3.4358344165517218</v>
      </c>
      <c r="J14" s="1">
        <v>0.17106663576365291</v>
      </c>
      <c r="L14" t="str">
        <f t="shared" si="0"/>
        <v>41421 ± 900</v>
      </c>
      <c r="M14" t="str">
        <f t="shared" si="1"/>
        <v>15375 ± 400</v>
      </c>
    </row>
    <row r="15" spans="1:13" x14ac:dyDescent="0.2">
      <c r="A15" t="s">
        <v>23</v>
      </c>
      <c r="B15" s="2">
        <v>298.43666666666672</v>
      </c>
      <c r="C15" s="2">
        <v>70949.305056587531</v>
      </c>
      <c r="D15" s="2">
        <v>1180.228447007953</v>
      </c>
      <c r="E15" s="2">
        <v>30611.813582494069</v>
      </c>
      <c r="F15" s="2">
        <v>409.73730101287299</v>
      </c>
      <c r="G15" s="1">
        <v>37.436648052496231</v>
      </c>
      <c r="H15" s="1">
        <v>4.2925214176173121E-2</v>
      </c>
      <c r="I15" s="1">
        <v>3.4053271226493562</v>
      </c>
      <c r="J15" s="1">
        <v>0.1452469430292628</v>
      </c>
      <c r="L15" t="str">
        <f t="shared" si="0"/>
        <v>70949 ± 1200</v>
      </c>
      <c r="M15" t="str">
        <f t="shared" si="1"/>
        <v>30612 ± 400</v>
      </c>
    </row>
    <row r="16" spans="1:13" x14ac:dyDescent="0.2">
      <c r="A16" t="s">
        <v>24</v>
      </c>
      <c r="B16" s="2">
        <v>392.09666666666669</v>
      </c>
      <c r="C16" s="2">
        <v>74433.299693543027</v>
      </c>
      <c r="D16" s="2">
        <v>1075.3737013324701</v>
      </c>
      <c r="E16" s="2">
        <v>33028.800535691771</v>
      </c>
      <c r="F16" s="2">
        <v>368.51557056480527</v>
      </c>
      <c r="G16" s="1">
        <v>37.468908162996918</v>
      </c>
      <c r="H16" s="1">
        <v>4.1962740148039607E-2</v>
      </c>
      <c r="I16" s="1">
        <v>3.023002263366481</v>
      </c>
      <c r="J16" s="1">
        <v>0.10788374857515121</v>
      </c>
      <c r="L16" t="str">
        <f t="shared" si="0"/>
        <v>74433 ± 1100</v>
      </c>
      <c r="M16" t="str">
        <f t="shared" si="1"/>
        <v>33029 ± 400</v>
      </c>
    </row>
    <row r="17" spans="1:13" x14ac:dyDescent="0.2">
      <c r="A17" t="s">
        <v>25</v>
      </c>
      <c r="B17" s="2">
        <v>50.860685996333338</v>
      </c>
      <c r="C17" s="2">
        <v>65316.426389568573</v>
      </c>
      <c r="D17" s="2">
        <v>2783.4951336688232</v>
      </c>
      <c r="E17" s="2">
        <v>3283.7496615135451</v>
      </c>
      <c r="F17" s="2">
        <v>1170.421795933129</v>
      </c>
      <c r="G17" s="1">
        <v>41.18949159454921</v>
      </c>
      <c r="H17" s="1">
        <v>0.22713597183846759</v>
      </c>
      <c r="I17" s="1">
        <v>6.4079427086490401</v>
      </c>
      <c r="J17" s="1">
        <v>0.3316970949025102</v>
      </c>
      <c r="L17" t="str">
        <f t="shared" si="0"/>
        <v>65316 ± 2800</v>
      </c>
      <c r="M17" t="str">
        <f t="shared" si="1"/>
        <v>3284 ± 1200</v>
      </c>
    </row>
    <row r="18" spans="1:13" x14ac:dyDescent="0.2">
      <c r="A18" t="s">
        <v>26</v>
      </c>
      <c r="B18" s="2">
        <v>99.628253333333333</v>
      </c>
      <c r="C18" s="2">
        <v>66465.824207350641</v>
      </c>
      <c r="D18" s="2">
        <v>1938.984666988853</v>
      </c>
      <c r="E18" s="2">
        <v>9745.4998583691795</v>
      </c>
      <c r="F18" s="2">
        <v>689.8730706632382</v>
      </c>
      <c r="G18" s="1">
        <v>40.434700852711089</v>
      </c>
      <c r="H18" s="1">
        <v>0.1211232613021563</v>
      </c>
      <c r="I18" s="1">
        <v>4.979914923419904</v>
      </c>
      <c r="J18" s="1">
        <v>0.21179635157682611</v>
      </c>
      <c r="L18" t="str">
        <f t="shared" si="0"/>
        <v>66466 ± 1900</v>
      </c>
      <c r="M18" t="str">
        <f t="shared" si="1"/>
        <v>9745 ± 700</v>
      </c>
    </row>
    <row r="19" spans="1:13" x14ac:dyDescent="0.2">
      <c r="A19" t="s">
        <v>27</v>
      </c>
      <c r="B19" s="2">
        <v>200.2766666666667</v>
      </c>
      <c r="C19" s="2">
        <v>95488.129635572463</v>
      </c>
      <c r="D19" s="2">
        <v>1422.8168125571831</v>
      </c>
      <c r="E19" s="2">
        <v>17038.68862698667</v>
      </c>
      <c r="F19" s="2">
        <v>511.0011669717685</v>
      </c>
      <c r="G19" s="1">
        <v>39.907517774592762</v>
      </c>
      <c r="H19" s="1">
        <v>8.1425177274444316E-2</v>
      </c>
      <c r="I19" s="1">
        <v>4.6839180043460384</v>
      </c>
      <c r="J19" s="1">
        <v>0.17603350367258089</v>
      </c>
      <c r="L19" t="str">
        <f t="shared" si="0"/>
        <v>95488 ± 1400</v>
      </c>
      <c r="M19" t="str">
        <f t="shared" si="1"/>
        <v>17039 ± 500</v>
      </c>
    </row>
    <row r="20" spans="1:13" x14ac:dyDescent="0.2">
      <c r="A20" t="s">
        <v>28</v>
      </c>
      <c r="B20" s="2">
        <v>299.04000000000002</v>
      </c>
      <c r="C20" s="2">
        <v>121417.5160719251</v>
      </c>
      <c r="D20" s="2">
        <v>1642.014816207696</v>
      </c>
      <c r="E20" s="2">
        <v>22640.93107853155</v>
      </c>
      <c r="F20" s="2">
        <v>452.21011874038578</v>
      </c>
      <c r="G20" s="1">
        <v>40.211942616673142</v>
      </c>
      <c r="H20" s="1">
        <v>5.911813915473637E-2</v>
      </c>
      <c r="I20" s="1">
        <v>4.6053854897053306</v>
      </c>
      <c r="J20" s="1">
        <v>0.16812358440235081</v>
      </c>
      <c r="L20" t="str">
        <f t="shared" si="0"/>
        <v>121418 ± 1600</v>
      </c>
      <c r="M20" t="str">
        <f t="shared" si="1"/>
        <v>22641 ± 500</v>
      </c>
    </row>
    <row r="21" spans="1:13" x14ac:dyDescent="0.2">
      <c r="A21" t="s">
        <v>29</v>
      </c>
      <c r="B21" s="2">
        <v>401.43666666666672</v>
      </c>
      <c r="C21" s="2">
        <v>113625.02449758189</v>
      </c>
      <c r="D21" s="2">
        <v>1270.7303928337969</v>
      </c>
      <c r="E21" s="2">
        <v>21448.199001817051</v>
      </c>
      <c r="F21" s="2">
        <v>390.30737551842611</v>
      </c>
      <c r="G21" s="1">
        <v>39.063183109513858</v>
      </c>
      <c r="H21" s="1">
        <v>4.6248206246761479E-2</v>
      </c>
      <c r="I21" s="1">
        <v>4.0006698766881801</v>
      </c>
      <c r="J21" s="1">
        <v>0.1239803802307272</v>
      </c>
      <c r="L21" t="str">
        <f t="shared" si="0"/>
        <v>113625 ± 1300</v>
      </c>
      <c r="M21" t="str">
        <f t="shared" si="1"/>
        <v>21448 ± 400</v>
      </c>
    </row>
    <row r="22" spans="1:13" x14ac:dyDescent="0.2">
      <c r="A22" t="s">
        <v>30</v>
      </c>
      <c r="B22" s="2">
        <v>48.887816003333327</v>
      </c>
      <c r="C22" s="2">
        <v>67059.590001691729</v>
      </c>
      <c r="D22" s="2">
        <v>3114.0210567194199</v>
      </c>
      <c r="E22" s="2">
        <v>973.31577841878425</v>
      </c>
      <c r="F22" s="2">
        <v>1329.127462173459</v>
      </c>
      <c r="G22" s="1">
        <v>42.448894951541959</v>
      </c>
      <c r="H22" s="1">
        <v>0.27112924626855522</v>
      </c>
      <c r="I22" s="1">
        <v>6.3529410165587006</v>
      </c>
      <c r="J22" s="1">
        <v>0.36386981949034197</v>
      </c>
      <c r="L22" t="str">
        <f t="shared" si="0"/>
        <v>67060 ± 3100</v>
      </c>
      <c r="M22" t="str">
        <f t="shared" si="1"/>
        <v>973 ± 1300</v>
      </c>
    </row>
    <row r="23" spans="1:13" x14ac:dyDescent="0.2">
      <c r="A23" t="s">
        <v>31</v>
      </c>
      <c r="B23" s="2">
        <v>99.197249999999997</v>
      </c>
      <c r="C23" s="2">
        <v>74783.280538305902</v>
      </c>
      <c r="D23" s="2">
        <v>2353.22001015878</v>
      </c>
      <c r="E23" s="2">
        <v>12836.39292186471</v>
      </c>
      <c r="F23" s="2">
        <v>985.30310781378364</v>
      </c>
      <c r="G23" s="1">
        <v>42.071852392619519</v>
      </c>
      <c r="H23" s="1">
        <v>0.14989055734615811</v>
      </c>
      <c r="I23" s="1">
        <v>5.3705081939101076</v>
      </c>
      <c r="J23" s="1">
        <v>0.22706220343829051</v>
      </c>
      <c r="L23" t="str">
        <f t="shared" si="0"/>
        <v>74783 ± 2400</v>
      </c>
      <c r="M23" t="str">
        <f t="shared" si="1"/>
        <v>12836 ± 1000</v>
      </c>
    </row>
    <row r="24" spans="1:13" x14ac:dyDescent="0.2">
      <c r="A24" t="s">
        <v>32</v>
      </c>
      <c r="B24" s="2">
        <v>199.69666666666669</v>
      </c>
      <c r="C24" s="2">
        <v>118446.33576716061</v>
      </c>
      <c r="D24" s="2">
        <v>1966.0904182214599</v>
      </c>
      <c r="E24" s="2">
        <v>28616.27119428635</v>
      </c>
      <c r="F24" s="2">
        <v>943.7246062830194</v>
      </c>
      <c r="G24" s="1">
        <v>42.481322732543163</v>
      </c>
      <c r="H24" s="1">
        <v>0.1305703347234638</v>
      </c>
      <c r="I24" s="1">
        <v>4.8730462999266422</v>
      </c>
      <c r="J24" s="1">
        <v>0.17924502297307229</v>
      </c>
      <c r="L24" t="str">
        <f t="shared" si="0"/>
        <v>118446 ± 2000</v>
      </c>
      <c r="M24" t="str">
        <f t="shared" si="1"/>
        <v>28616 ± 900</v>
      </c>
    </row>
    <row r="25" spans="1:13" x14ac:dyDescent="0.2">
      <c r="A25" t="s">
        <v>33</v>
      </c>
      <c r="B25" s="2">
        <v>300.84333333333331</v>
      </c>
      <c r="C25" s="2">
        <v>150978.39795450101</v>
      </c>
      <c r="D25" s="2">
        <v>2724.0357661933572</v>
      </c>
      <c r="E25" s="2">
        <v>38832.507743924078</v>
      </c>
      <c r="F25" s="2">
        <v>1001.437757784981</v>
      </c>
      <c r="G25" s="1">
        <v>41.94753968271101</v>
      </c>
      <c r="H25" s="1">
        <v>9.3477165263174691E-2</v>
      </c>
      <c r="I25" s="1">
        <v>4.743072042054771</v>
      </c>
      <c r="J25" s="1">
        <v>0.14809728610965681</v>
      </c>
      <c r="L25" t="str">
        <f t="shared" si="0"/>
        <v>150978 ± 2700</v>
      </c>
      <c r="M25" t="str">
        <f t="shared" si="1"/>
        <v>38833 ± 1000</v>
      </c>
    </row>
    <row r="26" spans="1:13" x14ac:dyDescent="0.2">
      <c r="A26" t="s">
        <v>34</v>
      </c>
      <c r="B26" s="2">
        <v>398.49333333333328</v>
      </c>
      <c r="C26" s="2">
        <v>145132.44402885329</v>
      </c>
      <c r="D26" s="2">
        <v>2285.297352199163</v>
      </c>
      <c r="E26" s="2">
        <v>43670.120296772147</v>
      </c>
      <c r="F26" s="2">
        <v>582.41667273804785</v>
      </c>
      <c r="G26" s="1">
        <v>40.273827468085109</v>
      </c>
      <c r="H26" s="1">
        <v>5.7954228889083928E-2</v>
      </c>
      <c r="I26" s="1">
        <v>3.5605344517780639</v>
      </c>
      <c r="J26" s="1">
        <v>0.1404249775551191</v>
      </c>
      <c r="L26" t="str">
        <f t="shared" si="0"/>
        <v>145132 ± 2300</v>
      </c>
      <c r="M26" t="str">
        <f t="shared" si="1"/>
        <v>43670 ± 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Lambert Nguyen</cp:lastModifiedBy>
  <dcterms:created xsi:type="dcterms:W3CDTF">2026-07-15T17:15:25Z</dcterms:created>
  <dcterms:modified xsi:type="dcterms:W3CDTF">2026-07-17T17:34:06Z</dcterms:modified>
</cp:coreProperties>
</file>